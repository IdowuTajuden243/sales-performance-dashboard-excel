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J\OneDrive\Desktop\"/>
    </mc:Choice>
  </mc:AlternateContent>
  <xr:revisionPtr revIDLastSave="0" documentId="8_{3F2E3ACD-1DAA-4E37-BF52-CADFD030A372}" xr6:coauthVersionLast="47" xr6:coauthVersionMax="47" xr10:uidLastSave="{00000000-0000-0000-0000-000000000000}"/>
  <bookViews>
    <workbookView xWindow="-108" yWindow="-108" windowWidth="23256" windowHeight="13176" xr2:uid="{8A3F283C-82C4-498F-AD62-936FC38BCD62}"/>
  </bookViews>
  <sheets>
    <sheet name="Raw Data" sheetId="1" r:id="rId1"/>
    <sheet name="Dashboard" sheetId="3" r:id="rId2"/>
    <sheet name="Analysis" sheetId="5" r:id="rId3"/>
  </sheets>
  <calcPr calcId="191029"/>
  <pivotCaches>
    <pivotCache cacheId="2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H3" i="3"/>
  <c r="F3" i="3"/>
  <c r="D3" i="3"/>
  <c r="B3" i="1"/>
  <c r="B4" i="1"/>
  <c r="B5" i="1"/>
  <c r="B6" i="1"/>
  <c r="B7" i="1"/>
  <c r="B8" i="1"/>
  <c r="B2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<sst xmlns="http://schemas.openxmlformats.org/spreadsheetml/2006/main" count="69" uniqueCount="56">
  <si>
    <t xml:space="preserve">Date </t>
  </si>
  <si>
    <t>Order ID</t>
  </si>
  <si>
    <t>Product</t>
  </si>
  <si>
    <t>Category</t>
  </si>
  <si>
    <t>Region</t>
  </si>
  <si>
    <t>Salesperson</t>
  </si>
  <si>
    <t>Quantity</t>
  </si>
  <si>
    <t>Unit Price</t>
  </si>
  <si>
    <t>Revenue</t>
  </si>
  <si>
    <t>ORD001</t>
  </si>
  <si>
    <t>ORD002</t>
  </si>
  <si>
    <t>ORD003</t>
  </si>
  <si>
    <t>Laptop</t>
  </si>
  <si>
    <t>Phone</t>
  </si>
  <si>
    <t>Mouse</t>
  </si>
  <si>
    <t>Electronics</t>
  </si>
  <si>
    <t>Accessories</t>
  </si>
  <si>
    <t>Abuja</t>
  </si>
  <si>
    <t>Lagos</t>
  </si>
  <si>
    <t>Ibadan</t>
  </si>
  <si>
    <t>David</t>
  </si>
  <si>
    <t>Charles</t>
  </si>
  <si>
    <t>Timothy</t>
  </si>
  <si>
    <t>Keyboard</t>
  </si>
  <si>
    <t>Printer</t>
  </si>
  <si>
    <t>Desk</t>
  </si>
  <si>
    <t>Chair</t>
  </si>
  <si>
    <t>Electroics</t>
  </si>
  <si>
    <t>Furniture</t>
  </si>
  <si>
    <t>Port-Harcourt</t>
  </si>
  <si>
    <t>Ekiti</t>
  </si>
  <si>
    <t>Ogun</t>
  </si>
  <si>
    <t>Spencer</t>
  </si>
  <si>
    <t>Anthony</t>
  </si>
  <si>
    <t>Kevin</t>
  </si>
  <si>
    <t>Hudson</t>
  </si>
  <si>
    <t>ORD004</t>
  </si>
  <si>
    <t>ORD005</t>
  </si>
  <si>
    <t>ORD006</t>
  </si>
  <si>
    <t>ORD007</t>
  </si>
  <si>
    <t>Month</t>
  </si>
  <si>
    <t>Row Labels</t>
  </si>
  <si>
    <t>Grand Total</t>
  </si>
  <si>
    <t>Sum of Revenue</t>
  </si>
  <si>
    <t>March</t>
  </si>
  <si>
    <t>February</t>
  </si>
  <si>
    <t>January</t>
  </si>
  <si>
    <t>April</t>
  </si>
  <si>
    <t>May</t>
  </si>
  <si>
    <t>June</t>
  </si>
  <si>
    <t>July</t>
  </si>
  <si>
    <t>Toatal Revenue</t>
  </si>
  <si>
    <t>Total Orders</t>
  </si>
  <si>
    <t>Average Revenue</t>
  </si>
  <si>
    <t>Highest Sales</t>
  </si>
  <si>
    <t>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</si>
</sst>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7" formatCode="[$-F800]dddd\,\ mmmm\ dd\,\ yyyy"/>
    <numFmt numFmtId="170" formatCode="[$NGN]\ #,##0.00"/>
    <numFmt numFmtId="171" formatCode="_([$NGN]\ * #,##0.00_);_([$NGN]\ * \(#,##0.00\);_([$NGN]\ 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/>
    <xf numFmtId="0" fontId="0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170" fontId="0" fillId="0" borderId="0" xfId="0" applyNumberFormat="1"/>
    <xf numFmtId="171" fontId="0" fillId="0" borderId="0" xfId="1" applyNumberFormat="1" applyFont="1"/>
    <xf numFmtId="171" fontId="0" fillId="0" borderId="0" xfId="0" applyNumberForma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12">
    <dxf>
      <numFmt numFmtId="167" formatCode="[$-F800]dddd\,\ mmmm\ dd\,\ 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7" formatCode="[$-F800]dddd\,\ mmmm\ dd\,\ 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[Sales_Performance_Dashboard.xlsx]Analysis!PivotTable6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Analysis!$A$2:$A$8</c:f>
              <c:strCache>
                <c:ptCount val="6"/>
                <c:pt idx="0">
                  <c:v>Abuja</c:v>
                </c:pt>
                <c:pt idx="1">
                  <c:v>Ekiti</c:v>
                </c:pt>
                <c:pt idx="2">
                  <c:v>Ibadan</c:v>
                </c:pt>
                <c:pt idx="3">
                  <c:v>Lagos</c:v>
                </c:pt>
                <c:pt idx="4">
                  <c:v>Ogun</c:v>
                </c:pt>
                <c:pt idx="5">
                  <c:v>Port-Harcourt</c:v>
                </c:pt>
              </c:strCache>
            </c:strRef>
          </c:cat>
          <c:val>
            <c:numRef>
              <c:f>Analysis!$B$2:$B$8</c:f>
              <c:numCache>
                <c:formatCode>General</c:formatCode>
                <c:ptCount val="6"/>
                <c:pt idx="0">
                  <c:v>1050000</c:v>
                </c:pt>
                <c:pt idx="1">
                  <c:v>460000</c:v>
                </c:pt>
                <c:pt idx="2">
                  <c:v>64000</c:v>
                </c:pt>
                <c:pt idx="3">
                  <c:v>1460000</c:v>
                </c:pt>
                <c:pt idx="4">
                  <c:v>390000</c:v>
                </c:pt>
                <c:pt idx="5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6-46A7-B1E7-00DC72EE0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99456"/>
        <c:axId val="160799040"/>
      </c:barChart>
      <c:catAx>
        <c:axId val="16079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99040"/>
        <c:crosses val="autoZero"/>
        <c:auto val="1"/>
        <c:lblAlgn val="ctr"/>
        <c:lblOffset val="100"/>
        <c:noMultiLvlLbl val="0"/>
      </c:catAx>
      <c:valAx>
        <c:axId val="16079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9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[Sales_Performance_Dashboard.xlsx]Analysis!PivotTable7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Analysis!$A$20:$A$27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Analysis!$B$20:$B$27</c:f>
              <c:numCache>
                <c:formatCode>General</c:formatCode>
                <c:ptCount val="7"/>
                <c:pt idx="0">
                  <c:v>1050000</c:v>
                </c:pt>
                <c:pt idx="1">
                  <c:v>900000</c:v>
                </c:pt>
                <c:pt idx="2">
                  <c:v>64000</c:v>
                </c:pt>
                <c:pt idx="3">
                  <c:v>60000</c:v>
                </c:pt>
                <c:pt idx="4">
                  <c:v>560000</c:v>
                </c:pt>
                <c:pt idx="5">
                  <c:v>460000</c:v>
                </c:pt>
                <c:pt idx="6">
                  <c:v>390000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C-42DE-9194-3DAA13B7B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856336"/>
        <c:axId val="169867984"/>
      </c:barChart>
      <c:catAx>
        <c:axId val="16985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67984"/>
        <c:crosses val="autoZero"/>
        <c:auto val="1"/>
        <c:lblAlgn val="ctr"/>
        <c:lblOffset val="100"/>
        <c:noMultiLvlLbl val="0"/>
      </c:catAx>
      <c:valAx>
        <c:axId val="16986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5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4</xdr:row>
      <xdr:rowOff>0</xdr:rowOff>
    </xdr:from>
    <xdr:to>
      <xdr:col>4</xdr:col>
      <xdr:colOff>220980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5AE0BF-623C-4429-9558-54F96DE14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335280</xdr:colOff>
      <xdr:row>4</xdr:row>
      <xdr:rowOff>0</xdr:rowOff>
    </xdr:from>
    <xdr:to>
      <xdr:col>8</xdr:col>
      <xdr:colOff>205740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F06289-38C7-4434-8E9A-9386254CE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7620</xdr:colOff>
      <xdr:row>4</xdr:row>
      <xdr:rowOff>15240</xdr:rowOff>
    </xdr:from>
    <xdr:to>
      <xdr:col>16</xdr:col>
      <xdr:colOff>13875</xdr:colOff>
      <xdr:row>17</xdr:row>
      <xdr:rowOff>112991</xdr:rowOff>
    </xdr:to>
    <xdr:pic>
      <xdr:nvPicPr>
        <xdr:cNvPr id="4" name="chart">
          <a:extLst>
            <a:ext uri="{FF2B5EF4-FFF2-40B4-BE49-F238E27FC236}">
              <a16:creationId xmlns:a16="http://schemas.microsoft.com/office/drawing/2014/main" id="{4AFD98CD-9285-4C39-ACDE-1375EB061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38660" y="1074420"/>
          <a:ext cx="1835055" cy="2475191"/>
        </a:xfrm>
        <a:prstGeom prst="rect">
          <a:avLst/>
        </a:prstGeom>
      </xdr:spPr>
    </xdr:pic>
    <xdr:clientData/>
  </xdr:twoCellAnchor>
  <xdr:twoCellAnchor editAs="oneCell">
    <xdr:from>
      <xdr:col>9</xdr:col>
      <xdr:colOff>525780</xdr:colOff>
      <xdr:row>4</xdr:row>
      <xdr:rowOff>22860</xdr:rowOff>
    </xdr:from>
    <xdr:to>
      <xdr:col>12</xdr:col>
      <xdr:colOff>532035</xdr:colOff>
      <xdr:row>17</xdr:row>
      <xdr:rowOff>120611</xdr:rowOff>
    </xdr:to>
    <xdr:pic>
      <xdr:nvPicPr>
        <xdr:cNvPr id="5" name="chart">
          <a:extLst>
            <a:ext uri="{FF2B5EF4-FFF2-40B4-BE49-F238E27FC236}">
              <a16:creationId xmlns:a16="http://schemas.microsoft.com/office/drawing/2014/main" id="{85D09CD8-1C20-4B16-9B30-96C3C625C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18420" y="1082040"/>
          <a:ext cx="1835055" cy="247519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" refreshedDate="46240.610456944443" createdVersion="7" refreshedVersion="7" minRefreshableVersion="3" recordCount="7" xr:uid="{A41C7D42-93C6-4118-9C64-D4B5E9197211}">
  <cacheSource type="worksheet">
    <worksheetSource name="Table4"/>
  </cacheSource>
  <cacheFields count="10">
    <cacheField name="Date " numFmtId="167">
      <sharedItems containsSemiMixedTypes="0" containsNonDate="0" containsDate="1" containsString="0" minDate="2026-01-02T00:00:00" maxDate="2026-07-04T00:00:00"/>
    </cacheField>
    <cacheField name="Month" numFmtId="167">
      <sharedItems count="7">
        <s v="January"/>
        <s v="February"/>
        <s v="March"/>
        <s v="April"/>
        <s v="May"/>
        <s v="June"/>
        <s v="July"/>
      </sharedItems>
    </cacheField>
    <cacheField name="Order ID" numFmtId="0">
      <sharedItems/>
    </cacheField>
    <cacheField name="Product" numFmtId="0">
      <sharedItems/>
    </cacheField>
    <cacheField name="Category" numFmtId="0">
      <sharedItems count="4">
        <s v="Electronics"/>
        <s v="Accessories"/>
        <s v="Electroics"/>
        <s v="Furniture"/>
      </sharedItems>
    </cacheField>
    <cacheField name="Region" numFmtId="0">
      <sharedItems count="6">
        <s v="Abuja"/>
        <s v="Lagos"/>
        <s v="Ibadan"/>
        <s v="Port-Harcourt"/>
        <s v="Ekiti"/>
        <s v="Ogun"/>
      </sharedItems>
    </cacheField>
    <cacheField name="Salesperson" numFmtId="0">
      <sharedItems/>
    </cacheField>
    <cacheField name="Quantity" numFmtId="0">
      <sharedItems containsSemiMixedTypes="0" containsString="0" containsNumber="1" containsInteger="1" minValue="2" maxValue="8"/>
    </cacheField>
    <cacheField name="Unit Price" numFmtId="0">
      <sharedItems containsSemiMixedTypes="0" containsString="0" containsNumber="1" containsInteger="1" minValue="8000" maxValue="350000"/>
    </cacheField>
    <cacheField name="Revenue" numFmtId="0">
      <sharedItems containsSemiMixedTypes="0" containsString="0" containsNumber="1" containsInteger="1" minValue="60000" maxValue="1050000"/>
    </cacheField>
  </cacheFields>
  <extLst>
    <ext xmlns:x14="http://schemas.microsoft.com/office/spreadsheetml/2009/9/main" uri="{725AE2AE-9491-48be-B2B4-4EB974FC3084}">
      <x14:pivotCacheDefinition pivotCacheId="13036215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d v="2026-01-02T00:00:00"/>
    <x v="0"/>
    <s v="ORD001"/>
    <s v="Laptop"/>
    <x v="0"/>
    <x v="0"/>
    <s v="David"/>
    <n v="3"/>
    <n v="350000"/>
    <n v="1050000"/>
  </r>
  <r>
    <d v="2026-02-03T00:00:00"/>
    <x v="1"/>
    <s v="ORD002"/>
    <s v="Phone"/>
    <x v="0"/>
    <x v="1"/>
    <s v="Charles"/>
    <n v="5"/>
    <n v="180000"/>
    <n v="900000"/>
  </r>
  <r>
    <d v="2026-03-03T00:00:00"/>
    <x v="2"/>
    <s v="ORD003"/>
    <s v="Mouse"/>
    <x v="1"/>
    <x v="2"/>
    <s v="Timothy"/>
    <n v="8"/>
    <n v="8000"/>
    <n v="64000"/>
  </r>
  <r>
    <d v="2026-04-06T00:00:00"/>
    <x v="3"/>
    <s v="ORD004"/>
    <s v="Keyboard"/>
    <x v="1"/>
    <x v="3"/>
    <s v="Hudson"/>
    <n v="5"/>
    <n v="12000"/>
    <n v="60000"/>
  </r>
  <r>
    <d v="2026-05-01T00:00:00"/>
    <x v="4"/>
    <s v="ORD005"/>
    <s v="Printer"/>
    <x v="2"/>
    <x v="1"/>
    <s v="Spencer"/>
    <n v="4"/>
    <n v="140000"/>
    <n v="560000"/>
  </r>
  <r>
    <d v="2026-06-08T00:00:00"/>
    <x v="5"/>
    <s v="ORD006"/>
    <s v="Desk"/>
    <x v="3"/>
    <x v="4"/>
    <s v="Anthony"/>
    <n v="2"/>
    <n v="230000"/>
    <n v="460000"/>
  </r>
  <r>
    <d v="2026-07-03T00:00:00"/>
    <x v="6"/>
    <s v="ORD007"/>
    <s v="Chair"/>
    <x v="3"/>
    <x v="5"/>
    <s v="Kevin"/>
    <n v="6"/>
    <n v="65000"/>
    <n v="39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C14B9-1C7B-4683-9D89-61347A15BC5E}" name="PivotTable7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19:B27" firstHeaderRow="1" firstDataRow="1" firstDataCol="1"/>
  <pivotFields count="10">
    <pivotField numFmtId="167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D4A6B4-F891-4405-AEC0-445C7BB3D175}" name="PivotTable6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1:B8" firstHeaderRow="1" firstDataRow="1" firstDataCol="1"/>
  <pivotFields count="10">
    <pivotField numFmtId="167"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axis="axisRow" showAll="0">
      <items count="7">
        <item x="0"/>
        <item x="4"/>
        <item x="2"/>
        <item x="1"/>
        <item x="5"/>
        <item x="3"/>
        <item t="default"/>
      </items>
    </pivotField>
    <pivotField showAll="0"/>
    <pivotField showAll="0"/>
    <pivotField showAll="0"/>
    <pivotField dataField="1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9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04FDD6-E485-4B37-8645-9D0A6BD42979}" name="Table4" displayName="Table4" ref="A1:J8" totalsRowShown="0" headerRowDxfId="4" dataDxfId="5">
  <autoFilter ref="A1:J8" xr:uid="{8604FDD6-E485-4B37-8645-9D0A6BD42979}"/>
  <tableColumns count="10">
    <tableColumn id="1" xr3:uid="{51C52D7E-512D-4F23-9F72-B5A40F686494}" name="Date " dataDxfId="11"/>
    <tableColumn id="10" xr3:uid="{68DEE50B-E1DF-4A8A-B728-DC49218C8986}" name="Month" dataDxfId="0">
      <calculatedColumnFormula>TEXT(A2,"mmmm")</calculatedColumnFormula>
    </tableColumn>
    <tableColumn id="2" xr3:uid="{8FEF1221-90F1-40D4-951E-3131099A8FEF}" name="Order ID" dataDxfId="10"/>
    <tableColumn id="3" xr3:uid="{71F467F9-9EC3-440D-B814-2201FBD89EC7}" name="Product" dataDxfId="3"/>
    <tableColumn id="4" xr3:uid="{ED35E21C-A2CB-4C31-A2E6-941329437641}" name="Category" dataDxfId="1"/>
    <tableColumn id="5" xr3:uid="{A678F734-5F03-4E83-96F4-F60CA1929B8F}" name="Region" dataDxfId="2"/>
    <tableColumn id="6" xr3:uid="{6D45A083-6152-4681-A6B3-D30152AB9B3B}" name="Salesperson" dataDxfId="9"/>
    <tableColumn id="7" xr3:uid="{4014F83A-C7BB-4EAC-910D-BEE6322EFBC1}" name="Quantity" dataDxfId="8"/>
    <tableColumn id="8" xr3:uid="{B0B4E764-5829-4E5E-9EA4-4727572E8A25}" name="Unit Price" dataDxfId="7"/>
    <tableColumn id="9" xr3:uid="{8F174E66-9CDE-43BC-A398-4E18523C329F}" name="Revenue" dataDxfId="6">
      <calculatedColumnFormula>H2*I2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68CC4-3726-4C83-9F17-A1863C8BF73F}">
  <dimension ref="A1:K28"/>
  <sheetViews>
    <sheetView tabSelected="1" workbookViewId="0">
      <selection activeCell="B6" sqref="B6"/>
    </sheetView>
  </sheetViews>
  <sheetFormatPr defaultRowHeight="18" x14ac:dyDescent="0.35"/>
  <cols>
    <col min="1" max="1" width="23.21875" style="9" bestFit="1" customWidth="1"/>
    <col min="2" max="2" width="23.21875" style="9" customWidth="1"/>
    <col min="3" max="3" width="14.5546875" style="3" bestFit="1" customWidth="1"/>
    <col min="4" max="4" width="13.6640625" style="3" bestFit="1" customWidth="1"/>
    <col min="5" max="5" width="12.6640625" style="2" bestFit="1" customWidth="1"/>
    <col min="6" max="6" width="12.77734375" style="3" bestFit="1" customWidth="1"/>
    <col min="7" max="7" width="18.21875" style="3" bestFit="1" customWidth="1"/>
    <col min="8" max="8" width="14.77734375" style="3" bestFit="1" customWidth="1"/>
    <col min="9" max="9" width="15.88671875" style="3" bestFit="1" customWidth="1"/>
    <col min="10" max="10" width="14.77734375" style="3" bestFit="1" customWidth="1"/>
  </cols>
  <sheetData>
    <row r="1" spans="1:11" x14ac:dyDescent="0.3">
      <c r="A1" s="4" t="s">
        <v>0</v>
      </c>
      <c r="B1" s="4" t="s">
        <v>40</v>
      </c>
      <c r="C1" s="4" t="s">
        <v>1</v>
      </c>
      <c r="D1" s="4" t="s">
        <v>2</v>
      </c>
      <c r="E1" s="1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1" ht="14.4" x14ac:dyDescent="0.3">
      <c r="A2" s="8">
        <v>46024</v>
      </c>
      <c r="B2" s="8" t="str">
        <f>TEXT(A2,"mmmm")</f>
        <v>January</v>
      </c>
      <c r="C2" s="7" t="s">
        <v>9</v>
      </c>
      <c r="D2" s="7" t="s">
        <v>12</v>
      </c>
      <c r="E2" s="7" t="s">
        <v>15</v>
      </c>
      <c r="F2" s="7" t="s">
        <v>17</v>
      </c>
      <c r="G2" s="7" t="s">
        <v>20</v>
      </c>
      <c r="H2" s="7">
        <v>3</v>
      </c>
      <c r="I2" s="7">
        <v>350000</v>
      </c>
      <c r="J2" s="7">
        <f>H2*I2</f>
        <v>1050000</v>
      </c>
      <c r="K2" s="5"/>
    </row>
    <row r="3" spans="1:11" ht="14.4" x14ac:dyDescent="0.3">
      <c r="A3" s="8">
        <v>46056</v>
      </c>
      <c r="B3" s="8" t="str">
        <f t="shared" ref="B3:B8" si="0">TEXT(A3,"mmmm")</f>
        <v>February</v>
      </c>
      <c r="C3" s="7" t="s">
        <v>10</v>
      </c>
      <c r="D3" s="7" t="s">
        <v>13</v>
      </c>
      <c r="E3" s="7" t="s">
        <v>15</v>
      </c>
      <c r="F3" s="7" t="s">
        <v>18</v>
      </c>
      <c r="G3" s="7" t="s">
        <v>21</v>
      </c>
      <c r="H3" s="7">
        <v>5</v>
      </c>
      <c r="I3" s="7">
        <v>180000</v>
      </c>
      <c r="J3" s="7">
        <f>H3*I3</f>
        <v>900000</v>
      </c>
      <c r="K3" s="5"/>
    </row>
    <row r="4" spans="1:11" ht="14.4" x14ac:dyDescent="0.3">
      <c r="A4" s="8">
        <v>46084</v>
      </c>
      <c r="B4" s="8" t="str">
        <f t="shared" si="0"/>
        <v>March</v>
      </c>
      <c r="C4" s="7" t="s">
        <v>11</v>
      </c>
      <c r="D4" s="7" t="s">
        <v>14</v>
      </c>
      <c r="E4" s="7" t="s">
        <v>16</v>
      </c>
      <c r="F4" s="7" t="s">
        <v>19</v>
      </c>
      <c r="G4" s="7" t="s">
        <v>22</v>
      </c>
      <c r="H4" s="7">
        <v>8</v>
      </c>
      <c r="I4" s="7">
        <v>8000</v>
      </c>
      <c r="J4" s="7">
        <f>H4*I4</f>
        <v>64000</v>
      </c>
      <c r="K4" s="5"/>
    </row>
    <row r="5" spans="1:11" ht="14.4" x14ac:dyDescent="0.3">
      <c r="A5" s="8">
        <v>46118</v>
      </c>
      <c r="B5" s="8" t="str">
        <f t="shared" si="0"/>
        <v>April</v>
      </c>
      <c r="C5" s="7" t="s">
        <v>36</v>
      </c>
      <c r="D5" s="7" t="s">
        <v>23</v>
      </c>
      <c r="E5" s="7" t="s">
        <v>16</v>
      </c>
      <c r="F5" s="7" t="s">
        <v>29</v>
      </c>
      <c r="G5" s="7" t="s">
        <v>35</v>
      </c>
      <c r="H5" s="7">
        <v>5</v>
      </c>
      <c r="I5" s="7">
        <v>12000</v>
      </c>
      <c r="J5" s="7">
        <f>H5*I5</f>
        <v>60000</v>
      </c>
      <c r="K5" s="5"/>
    </row>
    <row r="6" spans="1:11" ht="14.4" x14ac:dyDescent="0.3">
      <c r="A6" s="8">
        <v>46143</v>
      </c>
      <c r="B6" s="8" t="str">
        <f t="shared" si="0"/>
        <v>May</v>
      </c>
      <c r="C6" s="7" t="s">
        <v>37</v>
      </c>
      <c r="D6" s="7" t="s">
        <v>24</v>
      </c>
      <c r="E6" s="7" t="s">
        <v>27</v>
      </c>
      <c r="F6" s="7" t="s">
        <v>18</v>
      </c>
      <c r="G6" s="7" t="s">
        <v>32</v>
      </c>
      <c r="H6" s="7">
        <v>4</v>
      </c>
      <c r="I6" s="7">
        <v>140000</v>
      </c>
      <c r="J6" s="7">
        <f>H6*I6</f>
        <v>560000</v>
      </c>
      <c r="K6" s="5"/>
    </row>
    <row r="7" spans="1:11" ht="14.4" x14ac:dyDescent="0.3">
      <c r="A7" s="8">
        <v>46181</v>
      </c>
      <c r="B7" s="8" t="str">
        <f t="shared" si="0"/>
        <v>June</v>
      </c>
      <c r="C7" s="7" t="s">
        <v>38</v>
      </c>
      <c r="D7" s="7" t="s">
        <v>25</v>
      </c>
      <c r="E7" s="7" t="s">
        <v>28</v>
      </c>
      <c r="F7" s="7" t="s">
        <v>30</v>
      </c>
      <c r="G7" s="7" t="s">
        <v>33</v>
      </c>
      <c r="H7" s="7">
        <v>2</v>
      </c>
      <c r="I7" s="7">
        <v>230000</v>
      </c>
      <c r="J7" s="7">
        <f>H7*I7</f>
        <v>460000</v>
      </c>
      <c r="K7" s="5"/>
    </row>
    <row r="8" spans="1:11" ht="14.4" x14ac:dyDescent="0.3">
      <c r="A8" s="8">
        <v>46206</v>
      </c>
      <c r="B8" s="8" t="str">
        <f t="shared" si="0"/>
        <v>July</v>
      </c>
      <c r="C8" s="7" t="s">
        <v>39</v>
      </c>
      <c r="D8" s="7" t="s">
        <v>26</v>
      </c>
      <c r="E8" s="7" t="s">
        <v>28</v>
      </c>
      <c r="F8" s="7" t="s">
        <v>31</v>
      </c>
      <c r="G8" s="7" t="s">
        <v>34</v>
      </c>
      <c r="H8" s="7">
        <v>6</v>
      </c>
      <c r="I8" s="7">
        <v>65000</v>
      </c>
      <c r="J8" s="7">
        <f>H8*I8</f>
        <v>390000</v>
      </c>
      <c r="K8" s="5"/>
    </row>
    <row r="9" spans="1:11" ht="14.4" x14ac:dyDescent="0.3">
      <c r="C9" s="7"/>
      <c r="D9" s="7"/>
      <c r="E9" s="6"/>
      <c r="F9" s="7"/>
      <c r="G9" s="7"/>
      <c r="H9" s="7"/>
      <c r="I9" s="7"/>
      <c r="J9" s="7"/>
      <c r="K9" s="5"/>
    </row>
    <row r="10" spans="1:11" ht="14.4" x14ac:dyDescent="0.3">
      <c r="C10" s="7"/>
      <c r="D10" s="7"/>
      <c r="E10" s="6"/>
      <c r="F10" s="7"/>
      <c r="G10" s="7"/>
      <c r="H10" s="7"/>
      <c r="I10" s="7"/>
      <c r="J10" s="7"/>
      <c r="K10" s="5"/>
    </row>
    <row r="11" spans="1:11" ht="14.4" x14ac:dyDescent="0.3">
      <c r="C11" s="7"/>
      <c r="D11" s="7"/>
      <c r="E11" s="6"/>
      <c r="F11" s="7"/>
      <c r="G11" s="7"/>
      <c r="H11" s="7"/>
      <c r="I11" s="7"/>
      <c r="J11" s="7"/>
      <c r="K11" s="5"/>
    </row>
    <row r="12" spans="1:11" ht="14.4" x14ac:dyDescent="0.3">
      <c r="C12" s="7"/>
      <c r="D12" s="7"/>
      <c r="E12" s="6"/>
      <c r="F12" s="7"/>
      <c r="G12" s="7"/>
      <c r="H12" s="7"/>
      <c r="I12" s="7"/>
      <c r="J12" s="7"/>
      <c r="K12" s="5"/>
    </row>
    <row r="13" spans="1:11" ht="14.4" x14ac:dyDescent="0.3">
      <c r="C13" s="7"/>
      <c r="D13" s="7"/>
      <c r="E13" s="6"/>
      <c r="F13" s="7"/>
      <c r="G13" s="7"/>
      <c r="H13" s="7"/>
      <c r="I13" s="7"/>
      <c r="J13" s="7"/>
      <c r="K13" s="5"/>
    </row>
    <row r="14" spans="1:11" x14ac:dyDescent="0.35">
      <c r="C14" s="7"/>
      <c r="D14" s="7"/>
      <c r="E14" s="6"/>
      <c r="F14" s="7"/>
      <c r="G14" s="7"/>
      <c r="H14" s="7"/>
    </row>
    <row r="15" spans="1:11" x14ac:dyDescent="0.35">
      <c r="C15" s="7"/>
      <c r="D15" s="7"/>
      <c r="E15" s="6"/>
      <c r="F15" s="7"/>
      <c r="G15" s="7"/>
      <c r="H15" s="7"/>
    </row>
    <row r="16" spans="1:11" x14ac:dyDescent="0.35">
      <c r="C16" s="7"/>
      <c r="D16" s="7"/>
      <c r="E16" s="6"/>
      <c r="F16" s="7"/>
      <c r="G16" s="7"/>
      <c r="H16" s="7"/>
    </row>
    <row r="17" spans="3:4" x14ac:dyDescent="0.35">
      <c r="C17" s="7"/>
      <c r="D17" s="7"/>
    </row>
    <row r="18" spans="3:4" x14ac:dyDescent="0.35">
      <c r="C18" s="7"/>
      <c r="D18" s="7"/>
    </row>
    <row r="19" spans="3:4" x14ac:dyDescent="0.35">
      <c r="C19" s="7"/>
      <c r="D19" s="7"/>
    </row>
    <row r="20" spans="3:4" x14ac:dyDescent="0.35">
      <c r="C20" s="7"/>
      <c r="D20" s="7"/>
    </row>
    <row r="21" spans="3:4" x14ac:dyDescent="0.35">
      <c r="C21" s="7"/>
      <c r="D21" s="7"/>
    </row>
    <row r="22" spans="3:4" x14ac:dyDescent="0.35">
      <c r="C22" s="7"/>
      <c r="D22" s="7"/>
    </row>
    <row r="23" spans="3:4" x14ac:dyDescent="0.35">
      <c r="C23" s="7"/>
    </row>
    <row r="24" spans="3:4" x14ac:dyDescent="0.35">
      <c r="C24" s="7"/>
    </row>
    <row r="25" spans="3:4" x14ac:dyDescent="0.35">
      <c r="C25" s="7"/>
    </row>
    <row r="26" spans="3:4" x14ac:dyDescent="0.35">
      <c r="C26" s="7"/>
    </row>
    <row r="27" spans="3:4" x14ac:dyDescent="0.35">
      <c r="C27" s="7"/>
    </row>
    <row r="28" spans="3:4" x14ac:dyDescent="0.35">
      <c r="C28" s="7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168F-81AE-4384-83A2-8438A7194B02}">
  <dimension ref="A1:H3"/>
  <sheetViews>
    <sheetView workbookViewId="0">
      <selection activeCell="I21" sqref="I21"/>
    </sheetView>
  </sheetViews>
  <sheetFormatPr defaultRowHeight="14.4" x14ac:dyDescent="0.3"/>
  <cols>
    <col min="2" max="2" width="25.5546875" bestFit="1" customWidth="1"/>
    <col min="4" max="4" width="20.5546875" bestFit="1" customWidth="1"/>
    <col min="6" max="6" width="28.88671875" bestFit="1" customWidth="1"/>
    <col min="8" max="8" width="21.88671875" bestFit="1" customWidth="1"/>
  </cols>
  <sheetData>
    <row r="1" spans="1:8" ht="28.8" customHeight="1" x14ac:dyDescent="0.6">
      <c r="A1" s="18" t="s">
        <v>55</v>
      </c>
      <c r="B1" s="17"/>
      <c r="C1" s="17"/>
      <c r="D1" s="17"/>
      <c r="E1" s="17"/>
      <c r="F1" s="17"/>
      <c r="G1" s="17"/>
      <c r="H1" s="17"/>
    </row>
    <row r="2" spans="1:8" ht="25.8" x14ac:dyDescent="0.5">
      <c r="B2" s="13" t="s">
        <v>51</v>
      </c>
      <c r="D2" s="13" t="s">
        <v>52</v>
      </c>
      <c r="F2" s="13" t="s">
        <v>53</v>
      </c>
      <c r="H2" s="13" t="s">
        <v>54</v>
      </c>
    </row>
    <row r="3" spans="1:8" x14ac:dyDescent="0.3">
      <c r="B3" s="14">
        <f>SUM( 'Raw Data'!J:J)</f>
        <v>3484000</v>
      </c>
      <c r="D3">
        <f>COUNTA(  'Raw Data'!C:C)-1</f>
        <v>7</v>
      </c>
      <c r="F3" s="15">
        <f>AVERAGE('Raw Data'!J:J)</f>
        <v>497714.28571428574</v>
      </c>
      <c r="H3" s="16">
        <f>MAX('Raw Data'!J:J)</f>
        <v>1050000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1F94-6B3E-4FB6-BDE5-7463D48001EF}">
  <dimension ref="A1:B27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1" spans="1:2" x14ac:dyDescent="0.3">
      <c r="A1" s="10" t="s">
        <v>41</v>
      </c>
      <c r="B1" t="s">
        <v>43</v>
      </c>
    </row>
    <row r="2" spans="1:2" x14ac:dyDescent="0.3">
      <c r="A2" s="11" t="s">
        <v>17</v>
      </c>
      <c r="B2" s="12">
        <v>1050000</v>
      </c>
    </row>
    <row r="3" spans="1:2" x14ac:dyDescent="0.3">
      <c r="A3" s="11" t="s">
        <v>30</v>
      </c>
      <c r="B3" s="12">
        <v>460000</v>
      </c>
    </row>
    <row r="4" spans="1:2" x14ac:dyDescent="0.3">
      <c r="A4" s="11" t="s">
        <v>19</v>
      </c>
      <c r="B4" s="12">
        <v>64000</v>
      </c>
    </row>
    <row r="5" spans="1:2" x14ac:dyDescent="0.3">
      <c r="A5" s="11" t="s">
        <v>18</v>
      </c>
      <c r="B5" s="12">
        <v>1460000</v>
      </c>
    </row>
    <row r="6" spans="1:2" x14ac:dyDescent="0.3">
      <c r="A6" s="11" t="s">
        <v>31</v>
      </c>
      <c r="B6" s="12">
        <v>390000</v>
      </c>
    </row>
    <row r="7" spans="1:2" x14ac:dyDescent="0.3">
      <c r="A7" s="11" t="s">
        <v>29</v>
      </c>
      <c r="B7" s="12">
        <v>60000</v>
      </c>
    </row>
    <row r="8" spans="1:2" x14ac:dyDescent="0.3">
      <c r="A8" s="11" t="s">
        <v>42</v>
      </c>
      <c r="B8" s="12">
        <v>3484000</v>
      </c>
    </row>
    <row r="19" spans="1:2" x14ac:dyDescent="0.3">
      <c r="A19" s="10" t="s">
        <v>41</v>
      </c>
      <c r="B19" t="s">
        <v>43</v>
      </c>
    </row>
    <row r="20" spans="1:2" x14ac:dyDescent="0.3">
      <c r="A20" s="11" t="s">
        <v>46</v>
      </c>
      <c r="B20" s="12">
        <v>1050000</v>
      </c>
    </row>
    <row r="21" spans="1:2" x14ac:dyDescent="0.3">
      <c r="A21" s="11" t="s">
        <v>45</v>
      </c>
      <c r="B21" s="12">
        <v>900000</v>
      </c>
    </row>
    <row r="22" spans="1:2" x14ac:dyDescent="0.3">
      <c r="A22" s="11" t="s">
        <v>44</v>
      </c>
      <c r="B22" s="12">
        <v>64000</v>
      </c>
    </row>
    <row r="23" spans="1:2" x14ac:dyDescent="0.3">
      <c r="A23" s="11" t="s">
        <v>47</v>
      </c>
      <c r="B23" s="12">
        <v>60000</v>
      </c>
    </row>
    <row r="24" spans="1:2" x14ac:dyDescent="0.3">
      <c r="A24" s="11" t="s">
        <v>48</v>
      </c>
      <c r="B24" s="12">
        <v>560000</v>
      </c>
    </row>
    <row r="25" spans="1:2" x14ac:dyDescent="0.3">
      <c r="A25" s="11" t="s">
        <v>49</v>
      </c>
      <c r="B25" s="12">
        <v>460000</v>
      </c>
    </row>
    <row r="26" spans="1:2" x14ac:dyDescent="0.3">
      <c r="A26" s="11" t="s">
        <v>50</v>
      </c>
      <c r="B26" s="12">
        <v>390000</v>
      </c>
    </row>
    <row r="27" spans="1:2" x14ac:dyDescent="0.3">
      <c r="A27" s="11" t="s">
        <v>42</v>
      </c>
      <c r="B27" s="12">
        <v>3484000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Dashboard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dcterms:created xsi:type="dcterms:W3CDTF">2026-08-06T19:51:59Z</dcterms:created>
  <dcterms:modified xsi:type="dcterms:W3CDTF">2026-08-06T22:40:23Z</dcterms:modified>
</cp:coreProperties>
</file>